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oko\Downloads\"/>
    </mc:Choice>
  </mc:AlternateContent>
  <xr:revisionPtr revIDLastSave="0" documentId="13_ncr:1_{AA8764BC-E411-45FD-BC2B-E10F007BCA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_Selection" sheetId="1" r:id="rId1"/>
    <sheet name="Audit_Logic_Matrix" sheetId="2" r:id="rId2"/>
    <sheet name="Data_Requirements" sheetId="3" r:id="rId3"/>
    <sheet name="Framework_Mapp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<sst xmlns="http://schemas.openxmlformats.org/spreadsheetml/2006/main" count="246" uniqueCount="155">
  <si>
    <t>Control_ID</t>
  </si>
  <si>
    <t>Control_Name</t>
  </si>
  <si>
    <t>Risk_Category</t>
  </si>
  <si>
    <t>Department</t>
  </si>
  <si>
    <t>Frequency</t>
  </si>
  <si>
    <t>Status</t>
  </si>
  <si>
    <t>Risk_Score</t>
  </si>
  <si>
    <t>Dynamic_Risk</t>
  </si>
  <si>
    <t>Framework_Ownership</t>
  </si>
  <si>
    <t>C1</t>
  </si>
  <si>
    <t>Privileged Access Review</t>
  </si>
  <si>
    <t>Access Management Risk</t>
  </si>
  <si>
    <t>IAM</t>
  </si>
  <si>
    <t>Quarterly</t>
  </si>
  <si>
    <t>Active</t>
  </si>
  <si>
    <t>All (Access Control)</t>
  </si>
  <si>
    <t>C2</t>
  </si>
  <si>
    <t>Multi-Factor Authentication Enforcement</t>
  </si>
  <si>
    <t>Continuous</t>
  </si>
  <si>
    <t>All (Strong Authentication)</t>
  </si>
  <si>
    <t>C3</t>
  </si>
  <si>
    <t>System Logging &amp; Monitoring</t>
  </si>
  <si>
    <t>Monitoring &amp; Logging Risk</t>
  </si>
  <si>
    <t>SecOps</t>
  </si>
  <si>
    <t>All (Logging &amp; Monitoring)</t>
  </si>
  <si>
    <t>C4</t>
  </si>
  <si>
    <t>Patch &amp; Vulnerability Remediation</t>
  </si>
  <si>
    <t>Vulnerability Risk</t>
  </si>
  <si>
    <t>IT Operations</t>
  </si>
  <si>
    <t>Monthly</t>
  </si>
  <si>
    <t>All (Vulnerability Management)</t>
  </si>
  <si>
    <t>C5</t>
  </si>
  <si>
    <t>Data Encryption (At Rest &amp; In Transit)</t>
  </si>
  <si>
    <t>Data Protection Risk</t>
  </si>
  <si>
    <t>Cloud Engineering</t>
  </si>
  <si>
    <t>All (Encryption)</t>
  </si>
  <si>
    <t>C6</t>
  </si>
  <si>
    <t>Backup &amp; Recovery Validation</t>
  </si>
  <si>
    <t>HIPAA + NIST</t>
  </si>
  <si>
    <t>C7</t>
  </si>
  <si>
    <t>Change Management Approval</t>
  </si>
  <si>
    <t>Change Management Risk</t>
  </si>
  <si>
    <t>DevOps</t>
  </si>
  <si>
    <t>Per Change</t>
  </si>
  <si>
    <t>PCI DSS + NIST</t>
  </si>
  <si>
    <t>C8</t>
  </si>
  <si>
    <t>Incident Response SLA Compliance</t>
  </si>
  <si>
    <t>Incident Response Risk</t>
  </si>
  <si>
    <t>All (Incident Response)</t>
  </si>
  <si>
    <t>C9</t>
  </si>
  <si>
    <t>Third-Party Security Assessment</t>
  </si>
  <si>
    <t>Third-Party Risk</t>
  </si>
  <si>
    <t>Compliance</t>
  </si>
  <si>
    <t>Annual</t>
  </si>
  <si>
    <t>All (Vendor Risk)</t>
  </si>
  <si>
    <t>C10</t>
  </si>
  <si>
    <t>Terminated User Access Removal</t>
  </si>
  <si>
    <t>Per Event</t>
  </si>
  <si>
    <t>All (Access Removal)</t>
  </si>
  <si>
    <t>Logic_Condition</t>
  </si>
  <si>
    <t>Pass_Criteria</t>
  </si>
  <si>
    <t>Fail_Criteria</t>
  </si>
  <si>
    <t>Risk_Level</t>
  </si>
  <si>
    <t>Result</t>
  </si>
  <si>
    <t>Pass_Fail_Flag</t>
  </si>
  <si>
    <t>Privileged access reviewed within 90 days</t>
  </si>
  <si>
    <t>Review &lt;= 90 days</t>
  </si>
  <si>
    <t>Review &gt; 90 days</t>
  </si>
  <si>
    <t>High</t>
  </si>
  <si>
    <t>Pass</t>
  </si>
  <si>
    <t>MFA enabled for all privileged accounts</t>
  </si>
  <si>
    <t>All privileged accounts enrolled</t>
  </si>
  <si>
    <t>Any privileged account missing MFA</t>
  </si>
  <si>
    <t>Fail</t>
  </si>
  <si>
    <t>Logs ingested to SIEM for all critical assets</t>
  </si>
  <si>
    <t>100% log coverage</t>
  </si>
  <si>
    <t>Missing logs from any critical asset</t>
  </si>
  <si>
    <t>Critical vulnerabilities patched within 30 days</t>
  </si>
  <si>
    <t>Compliance &gt;= 95%</t>
  </si>
  <si>
    <t>Compliance &lt; 95%</t>
  </si>
  <si>
    <t>Encryption enabled for all sensitive data</t>
  </si>
  <si>
    <t>All storage encrypted</t>
  </si>
  <si>
    <t>Any unencrypted storage</t>
  </si>
  <si>
    <t>Backup restore tested quarterly</t>
  </si>
  <si>
    <t>Test completed</t>
  </si>
  <si>
    <t>No test in last quarter</t>
  </si>
  <si>
    <t>Medium</t>
  </si>
  <si>
    <t>Change approved before deployment</t>
  </si>
  <si>
    <t>Approval timestamp &lt; deployment timestamp</t>
  </si>
  <si>
    <t>Missing approval</t>
  </si>
  <si>
    <t>Incident resolved within SLA</t>
  </si>
  <si>
    <t>SLA met</t>
  </si>
  <si>
    <t>SLA breached</t>
  </si>
  <si>
    <t>Vendor assessed annually</t>
  </si>
  <si>
    <t>Assessment completed</t>
  </si>
  <si>
    <t>Missing assessment</t>
  </si>
  <si>
    <t>Access removed within 24 hours of termination</t>
  </si>
  <si>
    <t>Removal &lt;= 24 hours</t>
  </si>
  <si>
    <t>Removal &gt; 24 hours</t>
  </si>
  <si>
    <t>Data_Source</t>
  </si>
  <si>
    <t>Required_Fields</t>
  </si>
  <si>
    <t>Refresh_Rate</t>
  </si>
  <si>
    <t>IAM System</t>
  </si>
  <si>
    <t>user_id, role, privileged_flag, review_timestamp</t>
  </si>
  <si>
    <t>Identity Provider</t>
  </si>
  <si>
    <t>user_id, mfa_status, privileged_flag</t>
  </si>
  <si>
    <t>SIEM</t>
  </si>
  <si>
    <t>asset_id, log_status, last_log_timestamp</t>
  </si>
  <si>
    <t>Vulnerability Scanner</t>
  </si>
  <si>
    <t>asset_id, vuln_severity, patch_status</t>
  </si>
  <si>
    <t>Cloud Provider</t>
  </si>
  <si>
    <t>storage_id, encryption_flag, data_classification</t>
  </si>
  <si>
    <t>Backup System</t>
  </si>
  <si>
    <t>backup_id, test_timestamp, restore_status</t>
  </si>
  <si>
    <t>Change Management System</t>
  </si>
  <si>
    <t>change_id, approval_timestamp, deploy_timestamp</t>
  </si>
  <si>
    <t>Incident System</t>
  </si>
  <si>
    <t>incident_id, severity, sla_timestamp</t>
  </si>
  <si>
    <t>Vendor Portal</t>
  </si>
  <si>
    <t>vendor_id, assessment_date, risk_rating</t>
  </si>
  <si>
    <t>HRIS + IAM</t>
  </si>
  <si>
    <t>user_id, termination_timestamp, removal_timestamp</t>
  </si>
  <si>
    <t>PCI_DSS_Reference</t>
  </si>
  <si>
    <t>HIPAA_Reference</t>
  </si>
  <si>
    <t>NIST_CSF_Reference</t>
  </si>
  <si>
    <t>Req. 7.2, 8.1.4</t>
  </si>
  <si>
    <t>§164.308(a)(4)</t>
  </si>
  <si>
    <t>PR.AC-1, PR.AC-4</t>
  </si>
  <si>
    <t>Req. 8.3</t>
  </si>
  <si>
    <t>§164.312(d)</t>
  </si>
  <si>
    <t>PR.AC-7</t>
  </si>
  <si>
    <t>Req. 10.2, 10.3</t>
  </si>
  <si>
    <t>§164.312(b)</t>
  </si>
  <si>
    <t>DE.CM-1, DE.CM-7</t>
  </si>
  <si>
    <t>Req. 6.2</t>
  </si>
  <si>
    <t>§164.308(a)(8)</t>
  </si>
  <si>
    <t>PR.IP-12</t>
  </si>
  <si>
    <t>Req. 3.4, 4.1</t>
  </si>
  <si>
    <t>§164.312(a)(2)(iv), §164.312(e)(1)</t>
  </si>
  <si>
    <t>PR.DS-1, PR.DS-2</t>
  </si>
  <si>
    <t>Req. 12.10.1</t>
  </si>
  <si>
    <t>§164.308(a)(7)(ii)(B)</t>
  </si>
  <si>
    <t>PR.IP-4</t>
  </si>
  <si>
    <t>Req. 6.4</t>
  </si>
  <si>
    <t>§164.308(a)(1)(ii)(D)</t>
  </si>
  <si>
    <t>PR.IP-3</t>
  </si>
  <si>
    <t>Req. 12.10.5</t>
  </si>
  <si>
    <t>§164.308(a)(6)(ii)</t>
  </si>
  <si>
    <t>RS.MI-1, RS.MI-2</t>
  </si>
  <si>
    <t>Req. 12.8</t>
  </si>
  <si>
    <t>§164.308(b)(1)</t>
  </si>
  <si>
    <t>ID.SC-4</t>
  </si>
  <si>
    <t>Req. 8.1.3</t>
  </si>
  <si>
    <t>§164.308(a)(3)(ii)(C)</t>
  </si>
  <si>
    <t>PR.AC-4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</si>
</sst>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3" sqref="C13"/>
    </sheetView>
  </sheetViews>
  <sheetFormatPr defaultRowHeight="15" x14ac:dyDescent="0.25"/>
  <cols>
    <col min="1" max="1" width="12" customWidth="1"/>
    <col min="2" max="2" width="41" customWidth="1"/>
    <col min="3" max="3" width="27" customWidth="1"/>
    <col min="4" max="4" width="19" customWidth="1"/>
    <col min="5" max="5" width="12" customWidth="1"/>
    <col min="6" max="6" width="8" customWidth="1"/>
    <col min="7" max="7" width="12" customWidth="1"/>
    <col min="8" max="8" width="29" customWidth="1"/>
    <col min="9" max="9" width="3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>
        <f t="shared" ref="H2:H11" si="0">IF($F2="Active", $G2, 0)</f>
        <v>3</v>
      </c>
      <c r="I2" t="s">
        <v>15</v>
      </c>
    </row>
    <row r="3" spans="1:9" x14ac:dyDescent="0.25">
      <c r="A3" t="s">
        <v>16</v>
      </c>
      <c r="B3" t="s">
        <v>17</v>
      </c>
      <c r="C3" t="s">
        <v>11</v>
      </c>
      <c r="D3" t="s">
        <v>12</v>
      </c>
      <c r="E3" t="s">
        <v>18</v>
      </c>
      <c r="F3" t="s">
        <v>14</v>
      </c>
      <c r="G3">
        <v>3</v>
      </c>
      <c r="H3">
        <f t="shared" si="0"/>
        <v>3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14</v>
      </c>
      <c r="G4">
        <v>3</v>
      </c>
      <c r="H4">
        <f t="shared" si="0"/>
        <v>3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14</v>
      </c>
      <c r="G5">
        <v>3</v>
      </c>
      <c r="H5">
        <f t="shared" si="0"/>
        <v>3</v>
      </c>
      <c r="I5" t="s">
        <v>30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 t="s">
        <v>18</v>
      </c>
      <c r="F6" t="s">
        <v>14</v>
      </c>
      <c r="G6">
        <v>3</v>
      </c>
      <c r="H6">
        <f t="shared" si="0"/>
        <v>3</v>
      </c>
      <c r="I6" t="s">
        <v>35</v>
      </c>
    </row>
    <row r="7" spans="1:9" x14ac:dyDescent="0.25">
      <c r="A7" t="s">
        <v>36</v>
      </c>
      <c r="B7" t="s">
        <v>37</v>
      </c>
      <c r="C7" t="s">
        <v>33</v>
      </c>
      <c r="D7" t="s">
        <v>28</v>
      </c>
      <c r="E7" t="s">
        <v>13</v>
      </c>
      <c r="F7" t="s">
        <v>14</v>
      </c>
      <c r="G7">
        <v>2</v>
      </c>
      <c r="H7">
        <f t="shared" si="0"/>
        <v>2</v>
      </c>
      <c r="I7" t="s">
        <v>38</v>
      </c>
    </row>
    <row r="8" spans="1:9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14</v>
      </c>
      <c r="G8">
        <v>2</v>
      </c>
      <c r="H8">
        <f t="shared" si="0"/>
        <v>2</v>
      </c>
      <c r="I8" t="s">
        <v>44</v>
      </c>
    </row>
    <row r="9" spans="1:9" x14ac:dyDescent="0.25">
      <c r="A9" t="s">
        <v>45</v>
      </c>
      <c r="B9" t="s">
        <v>46</v>
      </c>
      <c r="C9" t="s">
        <v>47</v>
      </c>
      <c r="D9" t="s">
        <v>23</v>
      </c>
      <c r="E9" t="s">
        <v>18</v>
      </c>
      <c r="F9" t="s">
        <v>14</v>
      </c>
      <c r="G9">
        <v>3</v>
      </c>
      <c r="H9">
        <f t="shared" si="0"/>
        <v>3</v>
      </c>
      <c r="I9" t="s">
        <v>48</v>
      </c>
    </row>
    <row r="10" spans="1:9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14</v>
      </c>
      <c r="G10">
        <v>2</v>
      </c>
      <c r="H10">
        <f t="shared" si="0"/>
        <v>2</v>
      </c>
      <c r="I10" t="s">
        <v>54</v>
      </c>
    </row>
    <row r="11" spans="1:9" x14ac:dyDescent="0.25">
      <c r="A11" t="s">
        <v>55</v>
      </c>
      <c r="B11" t="s">
        <v>56</v>
      </c>
      <c r="C11" t="s">
        <v>11</v>
      </c>
      <c r="D11" t="s">
        <v>12</v>
      </c>
      <c r="E11" t="s">
        <v>57</v>
      </c>
      <c r="F11" t="s">
        <v>14</v>
      </c>
      <c r="G11">
        <v>3</v>
      </c>
      <c r="H11">
        <f t="shared" si="0"/>
        <v>3</v>
      </c>
      <c r="I1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opLeftCell="B1" workbookViewId="0">
      <selection activeCell="H2" sqref="H2"/>
    </sheetView>
  </sheetViews>
  <sheetFormatPr defaultRowHeight="15" x14ac:dyDescent="0.25"/>
  <cols>
    <col min="1" max="1" width="12" customWidth="1"/>
    <col min="2" max="2" width="49" customWidth="1"/>
    <col min="3" max="3" width="43" customWidth="1"/>
    <col min="4" max="4" width="38" customWidth="1"/>
    <col min="5" max="6" width="12" customWidth="1"/>
    <col min="7" max="7" width="8" customWidth="1"/>
    <col min="8" max="8" width="22" customWidth="1"/>
  </cols>
  <sheetData>
    <row r="1" spans="1:8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</v>
      </c>
      <c r="G1" s="1" t="s">
        <v>63</v>
      </c>
      <c r="H1" s="1" t="s">
        <v>64</v>
      </c>
    </row>
    <row r="2" spans="1:8" x14ac:dyDescent="0.25">
      <c r="A2" t="s">
        <v>9</v>
      </c>
      <c r="B2" t="s">
        <v>65</v>
      </c>
      <c r="C2" t="s">
        <v>66</v>
      </c>
      <c r="D2" t="s">
        <v>67</v>
      </c>
      <c r="E2" t="s">
        <v>68</v>
      </c>
      <c r="F2">
        <v>3</v>
      </c>
      <c r="G2" t="s">
        <v>69</v>
      </c>
      <c r="H2">
        <f t="shared" ref="H2:H11" si="0">IF($G2="Pass",1,0)</f>
        <v>1</v>
      </c>
    </row>
    <row r="3" spans="1:8" x14ac:dyDescent="0.25">
      <c r="A3" t="s">
        <v>16</v>
      </c>
      <c r="B3" t="s">
        <v>70</v>
      </c>
      <c r="C3" t="s">
        <v>71</v>
      </c>
      <c r="D3" t="s">
        <v>72</v>
      </c>
      <c r="E3" t="s">
        <v>68</v>
      </c>
      <c r="F3">
        <v>3</v>
      </c>
      <c r="G3" t="s">
        <v>73</v>
      </c>
      <c r="H3">
        <f t="shared" si="0"/>
        <v>0</v>
      </c>
    </row>
    <row r="4" spans="1:8" x14ac:dyDescent="0.25">
      <c r="A4" t="s">
        <v>20</v>
      </c>
      <c r="B4" t="s">
        <v>74</v>
      </c>
      <c r="C4" t="s">
        <v>75</v>
      </c>
      <c r="D4" t="s">
        <v>76</v>
      </c>
      <c r="E4" t="s">
        <v>68</v>
      </c>
      <c r="F4">
        <v>3</v>
      </c>
      <c r="G4" t="s">
        <v>73</v>
      </c>
      <c r="H4">
        <f t="shared" si="0"/>
        <v>0</v>
      </c>
    </row>
    <row r="5" spans="1:8" x14ac:dyDescent="0.25">
      <c r="A5" t="s">
        <v>25</v>
      </c>
      <c r="B5" t="s">
        <v>77</v>
      </c>
      <c r="C5" t="s">
        <v>78</v>
      </c>
      <c r="D5" t="s">
        <v>79</v>
      </c>
      <c r="E5" t="s">
        <v>68</v>
      </c>
      <c r="F5">
        <v>3</v>
      </c>
      <c r="G5" t="s">
        <v>69</v>
      </c>
      <c r="H5">
        <f t="shared" si="0"/>
        <v>1</v>
      </c>
    </row>
    <row r="6" spans="1:8" x14ac:dyDescent="0.25">
      <c r="A6" t="s">
        <v>31</v>
      </c>
      <c r="B6" t="s">
        <v>80</v>
      </c>
      <c r="C6" t="s">
        <v>81</v>
      </c>
      <c r="D6" t="s">
        <v>82</v>
      </c>
      <c r="E6" t="s">
        <v>68</v>
      </c>
      <c r="F6">
        <v>3</v>
      </c>
      <c r="G6" t="s">
        <v>69</v>
      </c>
      <c r="H6">
        <f t="shared" si="0"/>
        <v>1</v>
      </c>
    </row>
    <row r="7" spans="1:8" x14ac:dyDescent="0.25">
      <c r="A7" t="s">
        <v>36</v>
      </c>
      <c r="B7" t="s">
        <v>83</v>
      </c>
      <c r="C7" t="s">
        <v>84</v>
      </c>
      <c r="D7" t="s">
        <v>85</v>
      </c>
      <c r="E7" t="s">
        <v>86</v>
      </c>
      <c r="F7">
        <v>2</v>
      </c>
      <c r="G7" t="s">
        <v>73</v>
      </c>
      <c r="H7">
        <f t="shared" si="0"/>
        <v>0</v>
      </c>
    </row>
    <row r="8" spans="1:8" x14ac:dyDescent="0.25">
      <c r="A8" t="s">
        <v>39</v>
      </c>
      <c r="B8" t="s">
        <v>87</v>
      </c>
      <c r="C8" t="s">
        <v>88</v>
      </c>
      <c r="D8" t="s">
        <v>89</v>
      </c>
      <c r="E8" t="s">
        <v>86</v>
      </c>
      <c r="F8">
        <v>2</v>
      </c>
      <c r="G8" t="s">
        <v>69</v>
      </c>
      <c r="H8">
        <f t="shared" si="0"/>
        <v>1</v>
      </c>
    </row>
    <row r="9" spans="1:8" x14ac:dyDescent="0.25">
      <c r="A9" t="s">
        <v>45</v>
      </c>
      <c r="B9" t="s">
        <v>90</v>
      </c>
      <c r="C9" t="s">
        <v>91</v>
      </c>
      <c r="D9" t="s">
        <v>92</v>
      </c>
      <c r="E9" t="s">
        <v>68</v>
      </c>
      <c r="F9">
        <v>3</v>
      </c>
      <c r="G9" t="s">
        <v>73</v>
      </c>
      <c r="H9">
        <f t="shared" si="0"/>
        <v>0</v>
      </c>
    </row>
    <row r="10" spans="1:8" x14ac:dyDescent="0.25">
      <c r="A10" t="s">
        <v>49</v>
      </c>
      <c r="B10" t="s">
        <v>93</v>
      </c>
      <c r="C10" t="s">
        <v>94</v>
      </c>
      <c r="D10" t="s">
        <v>95</v>
      </c>
      <c r="E10" t="s">
        <v>86</v>
      </c>
      <c r="F10">
        <v>2</v>
      </c>
      <c r="G10" t="s">
        <v>69</v>
      </c>
      <c r="H10">
        <f t="shared" si="0"/>
        <v>1</v>
      </c>
    </row>
    <row r="11" spans="1:8" x14ac:dyDescent="0.25">
      <c r="A11" t="s">
        <v>55</v>
      </c>
      <c r="B11" t="s">
        <v>96</v>
      </c>
      <c r="C11" t="s">
        <v>97</v>
      </c>
      <c r="D11" t="s">
        <v>98</v>
      </c>
      <c r="E11" t="s">
        <v>68</v>
      </c>
      <c r="F11">
        <v>3</v>
      </c>
      <c r="G11" t="s">
        <v>73</v>
      </c>
      <c r="H11">
        <f t="shared" si="0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4" sqref="B14"/>
    </sheetView>
  </sheetViews>
  <sheetFormatPr defaultRowHeight="15" x14ac:dyDescent="0.25"/>
  <cols>
    <col min="1" max="1" width="12" customWidth="1"/>
    <col min="2" max="2" width="26" customWidth="1"/>
    <col min="3" max="3" width="51" customWidth="1"/>
    <col min="4" max="4" width="14" customWidth="1"/>
  </cols>
  <sheetData>
    <row r="1" spans="1:4" x14ac:dyDescent="0.25">
      <c r="A1" s="1" t="s">
        <v>0</v>
      </c>
      <c r="B1" s="1" t="s">
        <v>99</v>
      </c>
      <c r="C1" s="1" t="s">
        <v>100</v>
      </c>
      <c r="D1" s="1" t="s">
        <v>101</v>
      </c>
    </row>
    <row r="2" spans="1:4" x14ac:dyDescent="0.25">
      <c r="A2" t="s">
        <v>9</v>
      </c>
      <c r="B2" t="s">
        <v>102</v>
      </c>
      <c r="C2" t="s">
        <v>103</v>
      </c>
      <c r="D2" t="s">
        <v>13</v>
      </c>
    </row>
    <row r="3" spans="1:4" x14ac:dyDescent="0.25">
      <c r="A3" t="s">
        <v>16</v>
      </c>
      <c r="B3" t="s">
        <v>104</v>
      </c>
      <c r="C3" t="s">
        <v>105</v>
      </c>
      <c r="D3" t="s">
        <v>18</v>
      </c>
    </row>
    <row r="4" spans="1:4" x14ac:dyDescent="0.25">
      <c r="A4" t="s">
        <v>20</v>
      </c>
      <c r="B4" t="s">
        <v>106</v>
      </c>
      <c r="C4" t="s">
        <v>107</v>
      </c>
      <c r="D4" t="s">
        <v>18</v>
      </c>
    </row>
    <row r="5" spans="1:4" x14ac:dyDescent="0.25">
      <c r="A5" t="s">
        <v>25</v>
      </c>
      <c r="B5" t="s">
        <v>108</v>
      </c>
      <c r="C5" t="s">
        <v>109</v>
      </c>
      <c r="D5" t="s">
        <v>29</v>
      </c>
    </row>
    <row r="6" spans="1:4" x14ac:dyDescent="0.25">
      <c r="A6" t="s">
        <v>31</v>
      </c>
      <c r="B6" t="s">
        <v>110</v>
      </c>
      <c r="C6" t="s">
        <v>111</v>
      </c>
      <c r="D6" t="s">
        <v>18</v>
      </c>
    </row>
    <row r="7" spans="1:4" x14ac:dyDescent="0.25">
      <c r="A7" t="s">
        <v>36</v>
      </c>
      <c r="B7" t="s">
        <v>112</v>
      </c>
      <c r="C7" t="s">
        <v>113</v>
      </c>
      <c r="D7" t="s">
        <v>13</v>
      </c>
    </row>
    <row r="8" spans="1:4" x14ac:dyDescent="0.25">
      <c r="A8" t="s">
        <v>39</v>
      </c>
      <c r="B8" t="s">
        <v>114</v>
      </c>
      <c r="C8" t="s">
        <v>115</v>
      </c>
      <c r="D8" t="s">
        <v>43</v>
      </c>
    </row>
    <row r="9" spans="1:4" x14ac:dyDescent="0.25">
      <c r="A9" t="s">
        <v>45</v>
      </c>
      <c r="B9" t="s">
        <v>116</v>
      </c>
      <c r="C9" t="s">
        <v>117</v>
      </c>
      <c r="D9" t="s">
        <v>18</v>
      </c>
    </row>
    <row r="10" spans="1:4" x14ac:dyDescent="0.25">
      <c r="A10" t="s">
        <v>49</v>
      </c>
      <c r="B10" t="s">
        <v>118</v>
      </c>
      <c r="C10" t="s">
        <v>119</v>
      </c>
      <c r="D10" t="s">
        <v>53</v>
      </c>
    </row>
    <row r="11" spans="1:4" x14ac:dyDescent="0.25">
      <c r="A11" t="s">
        <v>55</v>
      </c>
      <c r="B11" t="s">
        <v>120</v>
      </c>
      <c r="C11" t="s">
        <v>121</v>
      </c>
      <c r="D11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 x14ac:dyDescent="0.25"/>
  <cols>
    <col min="1" max="1" width="12" customWidth="1"/>
    <col min="2" max="2" width="19" customWidth="1"/>
    <col min="3" max="3" width="36" customWidth="1"/>
    <col min="4" max="4" width="20" customWidth="1"/>
    <col min="5" max="5" width="32" customWidth="1"/>
  </cols>
  <sheetData>
    <row r="1" spans="1: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8</v>
      </c>
    </row>
    <row r="2" spans="1:5" x14ac:dyDescent="0.25">
      <c r="A2" t="s">
        <v>9</v>
      </c>
      <c r="B2" t="s">
        <v>125</v>
      </c>
      <c r="C2" t="s">
        <v>126</v>
      </c>
      <c r="D2" t="s">
        <v>127</v>
      </c>
      <c r="E2" t="s">
        <v>15</v>
      </c>
    </row>
    <row r="3" spans="1:5" x14ac:dyDescent="0.25">
      <c r="A3" t="s">
        <v>16</v>
      </c>
      <c r="B3" t="s">
        <v>128</v>
      </c>
      <c r="C3" t="s">
        <v>129</v>
      </c>
      <c r="D3" t="s">
        <v>130</v>
      </c>
      <c r="E3" t="s">
        <v>19</v>
      </c>
    </row>
    <row r="4" spans="1:5" x14ac:dyDescent="0.25">
      <c r="A4" t="s">
        <v>20</v>
      </c>
      <c r="B4" t="s">
        <v>131</v>
      </c>
      <c r="C4" t="s">
        <v>132</v>
      </c>
      <c r="D4" t="s">
        <v>133</v>
      </c>
      <c r="E4" t="s">
        <v>24</v>
      </c>
    </row>
    <row r="5" spans="1:5" x14ac:dyDescent="0.25">
      <c r="A5" t="s">
        <v>25</v>
      </c>
      <c r="B5" t="s">
        <v>134</v>
      </c>
      <c r="C5" t="s">
        <v>135</v>
      </c>
      <c r="D5" t="s">
        <v>136</v>
      </c>
      <c r="E5" t="s">
        <v>30</v>
      </c>
    </row>
    <row r="6" spans="1:5" x14ac:dyDescent="0.25">
      <c r="A6" t="s">
        <v>31</v>
      </c>
      <c r="B6" t="s">
        <v>137</v>
      </c>
      <c r="C6" t="s">
        <v>138</v>
      </c>
      <c r="D6" t="s">
        <v>139</v>
      </c>
      <c r="E6" t="s">
        <v>35</v>
      </c>
    </row>
    <row r="7" spans="1:5" x14ac:dyDescent="0.25">
      <c r="A7" t="s">
        <v>36</v>
      </c>
      <c r="B7" t="s">
        <v>140</v>
      </c>
      <c r="C7" t="s">
        <v>141</v>
      </c>
      <c r="D7" t="s">
        <v>142</v>
      </c>
      <c r="E7" t="s">
        <v>38</v>
      </c>
    </row>
    <row r="8" spans="1:5" x14ac:dyDescent="0.25">
      <c r="A8" t="s">
        <v>39</v>
      </c>
      <c r="B8" t="s">
        <v>143</v>
      </c>
      <c r="C8" t="s">
        <v>144</v>
      </c>
      <c r="D8" t="s">
        <v>145</v>
      </c>
      <c r="E8" t="s">
        <v>44</v>
      </c>
    </row>
    <row r="9" spans="1:5" x14ac:dyDescent="0.25">
      <c r="A9" t="s">
        <v>45</v>
      </c>
      <c r="B9" t="s">
        <v>146</v>
      </c>
      <c r="C9" t="s">
        <v>147</v>
      </c>
      <c r="D9" t="s">
        <v>148</v>
      </c>
      <c r="E9" t="s">
        <v>48</v>
      </c>
    </row>
    <row r="10" spans="1:5" x14ac:dyDescent="0.25">
      <c r="A10" t="s">
        <v>49</v>
      </c>
      <c r="B10" t="s">
        <v>149</v>
      </c>
      <c r="C10" t="s">
        <v>150</v>
      </c>
      <c r="D10" t="s">
        <v>151</v>
      </c>
      <c r="E10" t="s">
        <v>54</v>
      </c>
    </row>
    <row r="11" spans="1:5" x14ac:dyDescent="0.25">
      <c r="A11" t="s">
        <v>55</v>
      </c>
      <c r="B11" t="s">
        <v>152</v>
      </c>
      <c r="C11" t="s">
        <v>153</v>
      </c>
      <c r="D11" t="s">
        <v>154</v>
      </c>
      <c r="E1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Control_Selection</vt:lpstr>
      <vt:lpstr>Audit_Logic_Matrix</vt:lpstr>
      <vt:lpstr>Data_Requirements</vt:lpstr>
      <vt:lpstr>Framework_Mapping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Shoko</cp:lastModifiedBy>
  <dcterms:created xsi:type="dcterms:W3CDTF">2026-03-16T23:51:16Z</dcterms:created>
  <dcterms:modified xsi:type="dcterms:W3CDTF">2026-03-17T00:48:50Z</dcterms:modified>
</cp:coreProperties>
</file>